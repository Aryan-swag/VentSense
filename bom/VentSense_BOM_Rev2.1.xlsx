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re BOM" sheetId="1" state="visible" r:id="rId2"/>
    <sheet name="Spares" sheetId="2" state="visible" r:id="rId3"/>
    <sheet name="Summary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<sst xmlns="http://schemas.openxmlformats.org/spreadsheetml/2006/main" count="323" uniqueCount="219">
  <si>
    <t xml:space="preserve">Component</t>
  </si>
  <si>
    <t xml:space="preserve">Part / Specification</t>
  </si>
  <si>
    <t xml:space="preserve">Qty</t>
  </si>
  <si>
    <t xml:space="preserve">Lead Time</t>
  </si>
  <si>
    <t xml:space="preserve">Cost (INR)</t>
  </si>
  <si>
    <t xml:space="preserve">CO sensor module</t>
  </si>
  <si>
    <t xml:space="preserve">MQ-7 module, Winsen/Hanwei element, LM393 + analog out (AO), 5V. One per segment</t>
  </si>
  <si>
    <t xml:space="preserve">Local (Online)</t>
  </si>
  <si>
    <t xml:space="preserve">H2 sensor module</t>
  </si>
  <si>
    <t xml:space="preserve">MQ-8 module, Winsen/Hanwei element, LM393 + analog out (AO), 5V. One per segment</t>
  </si>
  <si>
    <t xml:space="preserve">Cell temperature sensor</t>
  </si>
  <si>
    <t xml:space="preserve">DS18B20 waterproof stainless probe, 1 m lead, one per cell (taped to cell wall)</t>
  </si>
  <si>
    <t xml:space="preserve">Current sensor</t>
  </si>
  <si>
    <t xml:space="preserve">INA219 I2C module, 0.1 ohm shunt, up to 3.2 A, for load vs. fault sag check</t>
  </si>
  <si>
    <t xml:space="preserve">ADC</t>
  </si>
  <si>
    <t xml:space="preserve">ADS1115 16-bit I2C module (3 used: 8 gas channels + 4 cell-voltage channels, run at 3.3 V). ADDR to GND / VDD / SCL = 0x48 / 0x49 / 0x4B</t>
  </si>
  <si>
    <t xml:space="preserve">Ambient reference sensor</t>
  </si>
  <si>
    <t xml:space="preserve">Bosch BME280 I2C module (humidity / temp / pressure) for gas-sensor humidity check. Check chip marking, many are BMP280</t>
  </si>
  <si>
    <t xml:space="preserve">Real-time clock</t>
  </si>
  <si>
    <t xml:space="preserve">DS3231 I2C module with CR2032 backup, for timestamped event log</t>
  </si>
  <si>
    <t xml:space="preserve">RTC backup cell</t>
  </si>
  <si>
    <t xml:space="preserve">CR2032 3 V coin cell for the DS3231 (modules often ship without it)</t>
  </si>
  <si>
    <t xml:space="preserve">Microcontroller</t>
  </si>
  <si>
    <t xml:space="preserve">Espressif ESP32-DevKitC-32E (ESP32-WROOM-32E), genuine Espressif board</t>
  </si>
  <si>
    <t xml:space="preserve">ESP32 breakout</t>
  </si>
  <si>
    <t xml:space="preserve">30/38-pin screw terminal expansion board for the DevKit, so wiring does not rely on jumper wires</t>
  </si>
  <si>
    <t xml:space="preserve">Local display</t>
  </si>
  <si>
    <t xml:space="preserve">0.96 inch SSD1306 OLED, I2C, shows state of each segment on the rig</t>
  </si>
  <si>
    <t xml:space="preserve">LED driver</t>
  </si>
  <si>
    <t xml:space="preserve">PCF8574 I2C I/O expander module (0x20, 0x21), drives the 12 status LEDs; ESP32 has no free pins left. Check the chip is PCF8574, not PCF8574A (0x38-0x3F)</t>
  </si>
  <si>
    <t xml:space="preserve">Log storage</t>
  </si>
  <si>
    <t xml:space="preserve">microSD SPI card module + SanDisk Ultra 32 GB microSD (baseline / degradation log). Power from 5 V; check MISO is released when CS is high (shared SPI with MAX6675)</t>
  </si>
  <si>
    <t xml:space="preserve">Segment isolation relays</t>
  </si>
  <si>
    <t xml:space="preserve">4-channel 5V opto-isolated relay module, Songle SRD-05VDC-SL-C SPDT, 10 A contacts. Remove JD-VCC jumper; VCC and JD-VCC both from +5V</t>
  </si>
  <si>
    <t xml:space="preserve">Pack disconnect relay</t>
  </si>
  <si>
    <t xml:space="preserve">1-channel 5V opto-isolated relay module, SPDT, for Level 3 full-pack shutdown. Wire through NO (energised = pack connected)</t>
  </si>
  <si>
    <t xml:space="preserve">Emergency stop</t>
  </si>
  <si>
    <t xml:space="preserve">22 mm mushroom push-button, latching, with 2 NC contact blocks: NC1 in series with pack output, NC2 in the 12 V heater line (Rev 2.1: second block added, price estimate)</t>
  </si>
  <si>
    <t xml:space="preserve">Fuse holders</t>
  </si>
  <si>
    <t xml:space="preserve">5x20 mm inline fuse holder (pack output and 12 V heater line)</t>
  </si>
  <si>
    <t xml:space="preserve">Fuses</t>
  </si>
  <si>
    <t xml:space="preserve">5x20 mm fast-blow glass fuses, 5 A and 3 A, Littelfuse or equivalent (pack of 10, mixed). 3 A on pack output (INA219 reads up to 3.2 A), 5 A on 12 V heater line</t>
  </si>
  <si>
    <t xml:space="preserve">Resettable fuses</t>
  </si>
  <si>
    <t xml:space="preserve">PTC polyfuse, Bourns MF-R250 or equivalent (2.5 A hold / 5 A trip at 23 C, 30 V), one per segment, mounted off the cell carriers. Price to verify</t>
  </si>
  <si>
    <t xml:space="preserve">Li-ion cells</t>
  </si>
  <si>
    <t xml:space="preserve">Samsung INR18650-25R 2500 mAh, genuine Samsung SDI, flat top, unprotected. From a vendor that tests cells, same lot for all four</t>
  </si>
  <si>
    <t xml:space="preserve">Cell holders</t>
  </si>
  <si>
    <t xml:space="preserve">Single 18650 holder, metal spring contacts, with 15 cm leads</t>
  </si>
  <si>
    <t xml:space="preserve">Cell charger</t>
  </si>
  <si>
    <t xml:space="preserve">Liitokala Lii-500 (or Lii-600), 4 independent bays, charges cells outside the rig</t>
  </si>
  <si>
    <t xml:space="preserve">Load resistor</t>
  </si>
  <si>
    <t xml:space="preserve">10 ohm 50 W aluminium-housed wirewound resistor (about 1.5 A at 14.8 V), with heatsink bracket</t>
  </si>
  <si>
    <t xml:space="preserve">Local (Offline)</t>
  </si>
  <si>
    <t xml:space="preserve">Load resistor heatsink</t>
  </si>
  <si>
    <t xml:space="preserve">Finned aluminium heatsink, about 100 x 60 mm, with M3 screws (resistor dissipates about 22 W)</t>
  </si>
  <si>
    <t xml:space="preserve">Load / heater switch</t>
  </si>
  <si>
    <t xml:space="preserve">IRLZ44N logic-level N-MOSFET, Infineon, TO-220 (one for heater, one for load switch)</t>
  </si>
  <si>
    <t xml:space="preserve">MOSFET heatsink</t>
  </si>
  <si>
    <t xml:space="preserve">TO-220 clip-on heatsink</t>
  </si>
  <si>
    <t xml:space="preserve">MOSFET gate driver</t>
  </si>
  <si>
    <t xml:space="preserve">TC4427 dual low-side driver, DIP-8, powered from 12 V; drives both IRLZ44N gates fully (3.3 V from the ESP32 is not enough at 3.3 A)</t>
  </si>
  <si>
    <t xml:space="preserve">IC socket</t>
  </si>
  <si>
    <t xml:space="preserve">8-pin DIP socket for the TC4427</t>
  </si>
  <si>
    <t xml:space="preserve">Heater cartridge</t>
  </si>
  <si>
    <t xml:space="preserve">12 V 40 W cartridge heater, 6x20 mm, for the thermal channel test</t>
  </si>
  <si>
    <t xml:space="preserve">Heater block</t>
  </si>
  <si>
    <t xml:space="preserve">Aluminium block about 25x25x20 mm, drilled for 6 mm cartridge</t>
  </si>
  <si>
    <t xml:space="preserve">Local (Workshop)</t>
  </si>
  <si>
    <t xml:space="preserve">Heater thermal cutoff</t>
  </si>
  <si>
    <t xml:space="preserve">KSD301 70 C normally-closed thermal cutoff, 10 A, fitted on heater block (Rev 2.1: was 100 C; keeps the real cell inside its temperature rating). Firmware also cuts the heater at 55 C on the cell probe</t>
  </si>
  <si>
    <t xml:space="preserve">Gas test source</t>
  </si>
  <si>
    <t xml:space="preserve">Incense sticks + butane lighter (ventilated combustion-byproduct test)</t>
  </si>
  <si>
    <t xml:space="preserve">Hydrogen test source</t>
  </si>
  <si>
    <t xml:space="preserve">Small water-electrolysis kit: 9 V battery + snap, stainless-steel bolt electrodes, small container, baking soda (incense gives CO but no H2, needed to test MQ-8)</t>
  </si>
  <si>
    <t xml:space="preserve">Silicone tubing</t>
  </si>
  <si>
    <t xml:space="preserve">4 mm inner diameter, 1 m, routes H2 from the electrolysis kit into the test box</t>
  </si>
  <si>
    <t xml:space="preserve">Gas test box</t>
  </si>
  <si>
    <t xml:space="preserve">3 mm clear acrylic sheet, about 200 x 200 mm, cut into a small sealed box over one segment for repeatable gas tests</t>
  </si>
  <si>
    <t xml:space="preserve">Acrylic cement</t>
  </si>
  <si>
    <t xml:space="preserve">Solvent cement for joining the test box</t>
  </si>
  <si>
    <t xml:space="preserve">Reference thermocouple</t>
  </si>
  <si>
    <t xml:space="preserve">K-type thermocouple + MAX6675 SPI module, independent check on DS18B20 readings during heater tests</t>
  </si>
  <si>
    <t xml:space="preserve">Main DC supply</t>
  </si>
  <si>
    <t xml:space="preserve">12 V 5 A BIS-certified DC adapter (Mean Well GST60A12 or equivalent), powers heater and 5 V buck</t>
  </si>
  <si>
    <t xml:space="preserve">5 V buck converter</t>
  </si>
  <si>
    <t xml:space="preserve">XL4015 5 A adjustable DC-DC module (replaces LM2596), set to 5.0 V before connecting anything. Feeds relays, gas sensors and ESP32 VIN (about 2.3 A peak)</t>
  </si>
  <si>
    <t xml:space="preserve">Bulk capacitors</t>
  </si>
  <si>
    <t xml:space="preserve">1000 uF 25 V Panasonic/Nichicon x2, plus 100 uF, 1 uF and 0.1 uF ceramic assortment (gas sensor heater inrush, Wi-Fi bursts, 1 uF at TC4427 VDD)</t>
  </si>
  <si>
    <t xml:space="preserve">Reverse-polarity protection</t>
  </si>
  <si>
    <t xml:space="preserve">IRF4905 P-channel MOSFET, TO-220, on the 12 V input</t>
  </si>
  <si>
    <t xml:space="preserve">Gate-clamp Zener</t>
  </si>
  <si>
    <t xml:space="preserve">12 V Zener diode, 1N4742A or BZX55C12, for the IRF4905 gate</t>
  </si>
  <si>
    <t xml:space="preserve">DC input jack</t>
  </si>
  <si>
    <t xml:space="preserve">Panel-mount DC barrel jack, 5.5 x 2.1 mm, rated 5 A or more, matches the 12 V adapter plug. Do not use DC-022B (commonly sold as 3 A); peak draw is about 4.45 A (price estimate)</t>
  </si>
  <si>
    <t xml:space="preserve">Alarm buzzer</t>
  </si>
  <si>
    <t xml:space="preserve">5 V active buzzer, 85 dB</t>
  </si>
  <si>
    <t xml:space="preserve">Buzzer driver</t>
  </si>
  <si>
    <t xml:space="preserve">BC547 NPN transistors, pack of 10 (buzzer driver; ESP32 pin cannot drive the 5 V buzzer directly)</t>
  </si>
  <si>
    <t xml:space="preserve">Status LEDs</t>
  </si>
  <si>
    <t xml:space="preserve">5 mm LED assortment (red / yellow / green), 3 per segment. Green must be low-Vf (2.2 V or less, GaP yellow-green): the LEDs run from 3.3 V through 330 ohm</t>
  </si>
  <si>
    <t xml:space="preserve">Push buttons</t>
  </si>
  <si>
    <t xml:space="preserve">12 mm panel push button, momentary (alarm acknowledge, reset)</t>
  </si>
  <si>
    <t xml:space="preserve">Resistor kit</t>
  </si>
  <si>
    <t xml:space="preserve">1% metal film 1/4 W E24 assortment (dividers for cell voltage and gas AO scaling, pull-ups, LED resistors)</t>
  </si>
  <si>
    <t xml:space="preserve">Perfboard</t>
  </si>
  <si>
    <t xml:space="preserve">Double-sided plated FR4 perfboard, 18x12 cm</t>
  </si>
  <si>
    <t xml:space="preserve">Breadboard</t>
  </si>
  <si>
    <t xml:space="preserve">830-point breadboard, for bench bring-up before soldering</t>
  </si>
  <si>
    <t xml:space="preserve">Headers</t>
  </si>
  <si>
    <t xml:space="preserve">2.54 mm male + female header strips, 40-pin, assorted</t>
  </si>
  <si>
    <t xml:space="preserve">Connectors</t>
  </si>
  <si>
    <t xml:space="preserve">JST-XH 2.54 mm connector kit (2/3/4/5-pin) with crimped leads. Signals only (3 A rated): heater, pack and load wiring goes on screw terminals</t>
  </si>
  <si>
    <t xml:space="preserve">Terminal blocks</t>
  </si>
  <si>
    <t xml:space="preserve">5 mm pitch 2-pin PCB screw terminal blocks, 15 A</t>
  </si>
  <si>
    <t xml:space="preserve">Lever connectors</t>
  </si>
  <si>
    <t xml:space="preserve">Wago 221-413 3-way</t>
  </si>
  <si>
    <t xml:space="preserve">Pack connectors</t>
  </si>
  <si>
    <t xml:space="preserve">XT60 male + female pair (load lead and charger lead)</t>
  </si>
  <si>
    <t xml:space="preserve">Power wire</t>
  </si>
  <si>
    <t xml:space="preserve">18 AWG silicone wire, red and black, 5 m each</t>
  </si>
  <si>
    <t xml:space="preserve">Signal wire</t>
  </si>
  <si>
    <t xml:space="preserve">24 AWG multi-colour hook-up wire, 6 colours x 5 m</t>
  </si>
  <si>
    <t xml:space="preserve">Jumper wires</t>
  </si>
  <si>
    <t xml:space="preserve">Dupont M-M / M-F / F-F, 40 each</t>
  </si>
  <si>
    <t xml:space="preserve">Heat shrink</t>
  </si>
  <si>
    <t xml:space="preserve">Assorted heat shrink tubing kit</t>
  </si>
  <si>
    <t xml:space="preserve">Mounting hardware</t>
  </si>
  <si>
    <t xml:space="preserve">M3 standoff, screw and nut kit + cable ties</t>
  </si>
  <si>
    <t xml:space="preserve">USB cable</t>
  </si>
  <si>
    <t xml:space="preserve">Data-capable USB cable for ESP32 (micro-USB or USB-C, match the board)</t>
  </si>
  <si>
    <t xml:space="preserve">Soldering consumables</t>
  </si>
  <si>
    <t xml:space="preserve">0.8 mm solder wire + no-clean flux paste (skip if lab provides)</t>
  </si>
  <si>
    <t xml:space="preserve">Base plate</t>
  </si>
  <si>
    <t xml:space="preserve">6 mm acrylic sheet, 300x300 mm, cut to size</t>
  </si>
  <si>
    <t xml:space="preserve">Printing filament</t>
  </si>
  <si>
    <t xml:space="preserve">PETG 500 g (heat-resistant) for sensor pockets and separator sleeves</t>
  </si>
  <si>
    <t xml:space="preserve">PCM material</t>
  </si>
  <si>
    <t xml:space="preserve">Refined paraffin wax, 58-60 C melting point, 250 g, for sleeve lining</t>
  </si>
  <si>
    <t xml:space="preserve">Gas pocket sealing</t>
  </si>
  <si>
    <t xml:space="preserve">Neutral-cure silicone sealant or closed-cell foam gasket tape, seals each segment's gas pocket</t>
  </si>
  <si>
    <t xml:space="preserve">Thermal paste</t>
  </si>
  <si>
    <t xml:space="preserve">Arctic MX-4 or similar, 4 g, for probe-to-cell contact</t>
  </si>
  <si>
    <t xml:space="preserve">Kapton tape</t>
  </si>
  <si>
    <t xml:space="preserve">10 mm x 33 m polyimide tape, to hold probes on cells</t>
  </si>
  <si>
    <t xml:space="preserve">Aluminium foil tape</t>
  </si>
  <si>
    <t xml:space="preserve">50 mm x 10 m, for sleeve lining and heat spreading</t>
  </si>
  <si>
    <t xml:space="preserve">Fireproof cell bag</t>
  </si>
  <si>
    <t xml:space="preserve">Li-ion / LiPo fireproof charging and storage bag</t>
  </si>
  <si>
    <t xml:space="preserve">Safety glasses</t>
  </si>
  <si>
    <t xml:space="preserve">Clear polycarbonate, anti-fog</t>
  </si>
  <si>
    <t xml:space="preserve">Sand bucket</t>
  </si>
  <si>
    <t xml:space="preserve">Dry sand bucket kept next to rig (CO2 / ABC extinguisher from the lab, not counted here)</t>
  </si>
  <si>
    <t xml:space="preserve">Shipping and handling</t>
  </si>
  <si>
    <t xml:space="preserve">Estimate across 3 to 4 online orders (Robu, Hubtronics, Amazon)</t>
  </si>
  <si>
    <t xml:space="preserve">Total</t>
  </si>
  <si>
    <t xml:space="preserve">MQ-7 CO sensor module</t>
  </si>
  <si>
    <t xml:space="preserve">Spare for dead / drifting sensor (these are commonly DOA or off by a lot)</t>
  </si>
  <si>
    <t xml:space="preserve">MQ-8 H2 sensor module</t>
  </si>
  <si>
    <t xml:space="preserve">Spare for dead / drifting sensor</t>
  </si>
  <si>
    <t xml:space="preserve">DS18B20 waterproof probe</t>
  </si>
  <si>
    <t xml:space="preserve">Spare probes, fake / faulty units are common, test each on arrival</t>
  </si>
  <si>
    <t xml:space="preserve">ADS1115 module</t>
  </si>
  <si>
    <t xml:space="preserve">Spare ADC, one failed channel would break a segment</t>
  </si>
  <si>
    <t xml:space="preserve">INA219 module</t>
  </si>
  <si>
    <t xml:space="preserve">Spare current sensor</t>
  </si>
  <si>
    <t xml:space="preserve">DS3231 RTC module</t>
  </si>
  <si>
    <t xml:space="preserve">Spare RTC</t>
  </si>
  <si>
    <t xml:space="preserve">CR2032 coin cell</t>
  </si>
  <si>
    <t xml:space="preserve">Spare RTC battery</t>
  </si>
  <si>
    <t xml:space="preserve">SSD1306 OLED</t>
  </si>
  <si>
    <t xml:space="preserve">Spare display</t>
  </si>
  <si>
    <t xml:space="preserve">PCF8574 module</t>
  </si>
  <si>
    <t xml:space="preserve">Spare LED expander</t>
  </si>
  <si>
    <t xml:space="preserve">ESP32-DevKitC-32E</t>
  </si>
  <si>
    <t xml:space="preserve">Spare controller, so a burnt board does not stop the demo</t>
  </si>
  <si>
    <t xml:space="preserve">microSD card module</t>
  </si>
  <si>
    <t xml:space="preserve">Spare SPI module</t>
  </si>
  <si>
    <t xml:space="preserve">1-channel relay module</t>
  </si>
  <si>
    <t xml:space="preserve">Spare relay (can also replace a dead channel on the 4-ch board)</t>
  </si>
  <si>
    <t xml:space="preserve">4-channel relay module</t>
  </si>
  <si>
    <t xml:space="preserve">Spare isolation relay board</t>
  </si>
  <si>
    <t xml:space="preserve">Samsung INR18650-25R</t>
  </si>
  <si>
    <t xml:space="preserve">Spare cells from the same lot (replacement and matched swap-in)</t>
  </si>
  <si>
    <t xml:space="preserve">18650 cell holder</t>
  </si>
  <si>
    <t xml:space="preserve">Spare holders</t>
  </si>
  <si>
    <t xml:space="preserve">IRLZ44N MOSFET</t>
  </si>
  <si>
    <t xml:space="preserve">Spare MOSFETs</t>
  </si>
  <si>
    <t xml:space="preserve">TC4427 gate driver</t>
  </si>
  <si>
    <t xml:space="preserve">Spare gate driver IC</t>
  </si>
  <si>
    <t xml:space="preserve">Heater cartridge 12 V 40 W</t>
  </si>
  <si>
    <t xml:space="preserve">Spare heater</t>
  </si>
  <si>
    <t xml:space="preserve">XL4015 buck module</t>
  </si>
  <si>
    <t xml:space="preserve">Spare 5 V converter</t>
  </si>
  <si>
    <t xml:space="preserve">Perfboard 18x12 cm</t>
  </si>
  <si>
    <t xml:space="preserve">Spare board for a rebuild if a layout goes wrong</t>
  </si>
  <si>
    <t xml:space="preserve">5 V active buzzer</t>
  </si>
  <si>
    <t xml:space="preserve">Spare buzzer</t>
  </si>
  <si>
    <t xml:space="preserve">XT60 pair</t>
  </si>
  <si>
    <t xml:space="preserve">Spare connector pair</t>
  </si>
  <si>
    <t xml:space="preserve">Spare 5.5 x 2.1 mm panel jack, rated 5 A or more</t>
  </si>
  <si>
    <t xml:space="preserve">Spare data cable</t>
  </si>
  <si>
    <t xml:space="preserve">5x20 mm fuses</t>
  </si>
  <si>
    <t xml:space="preserve">Extra fuse pack (blows during short-circuit tests)</t>
  </si>
  <si>
    <t xml:space="preserve">Item</t>
  </si>
  <si>
    <t xml:space="preserve">Core BOM</t>
  </si>
  <si>
    <t xml:space="preserve">Spares</t>
  </si>
  <si>
    <t xml:space="preserve">Subtotal</t>
  </si>
  <si>
    <t xml:space="preserve">Contingency (10% of subtotal: price changes, wrong part, re-orders)</t>
  </si>
  <si>
    <t xml:space="preserve">Grand total</t>
  </si>
  <si>
    <t xml:space="preserve">Assumptions</t>
  </si>
  <si>
    <t xml:space="preserve">Prices are indicative, INR including GST, based on Indian online vendors (Robu, Hubtronics, Probots) and local market in Sept-Oct 2026. Samsung 25R at Rs 588 is the Hubtronics listing. Re-check at the time of ordering.</t>
  </si>
  <si>
    <t xml:space="preserve">Rig is 4 segments, one 18650 per segment, wired as a 4S string. Each segment has an SPDT relay: energised = cell in string, de-energised = cell bypassed and its positive terminal left open (fail-secure).</t>
  </si>
  <si>
    <t xml:space="preserve">Per-cell voltage is read through resistor dividers into ADS1115 and calibrated against a multimeter in firmware (1% resistors).</t>
  </si>
  <si>
    <t xml:space="preserve">MQ-7 / MQ-8 modules run on constant 5 V heater supply, no heater cycling. Gas AO outputs are divided down to stay under 3.3 V.</t>
  </si>
  <si>
    <t xml:space="preserve">No commercial BMS is in the loop; cells are charged separately in the Liitokala charger.</t>
  </si>
  <si>
    <t xml:space="preserve">Not counted: multimeter, soldering iron, 3D printer access, lab fire extinguisher.</t>
  </si>
  <si>
    <t xml:space="preserve">Revision 2 (20 Oct 2026): LM2596 replaced by a 5 A XL4015 (5 V rail peaks near 2.3 A); added TC4427 gate driver, PCF8574 LED expanders, BC547 buzzer driver, IRF4905 reverse-polarity protection, DC input jack, CR2032, load-resistor heatsink, hydrogen test source, sealed gas test box, gas-pocket sealing, reference thermocouple and PTC fuses; fuse ratings assigned (3 A pack, 5 A heater).</t>
  </si>
  <si>
    <t xml:space="preserve">Prices for the Revision 2 items are estimates; re-check at the time of ordering.</t>
  </si>
  <si>
    <t xml:space="preserve">Revision 2.1 (20 Oct 2026): ADS1115 #3 moved to 0x4B; PTC polyfuses changed to 2.5 A hold (MF-R250); KSD301 cutoff 100 C to 70 C; E-stop gets a second NC block for the heater line (+Rs 100 est.); DC jack must be rated 5 A or more (+Rs 20 core, +Rs 20 spare, est.); relay VCC/JD-VCC both 5 V; 1 uF at TC4427 VDD; low-Vf green LEDs.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</si>
</sst>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0"/>
    <col collapsed="false" customWidth="true" hidden="false" outlineLevel="0" max="3" min="3" style="1" width="6"/>
    <col collapsed="false" customWidth="true" hidden="false" outlineLevel="0" max="4" min="4" style="1" width="18"/>
    <col collapsed="false" customWidth="true" hidden="false" outlineLevel="0" max="5" min="5" style="1" width="1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23.25" hidden="false" customHeight="true" outlineLevel="0" collapsed="false">
      <c r="A2" s="2" t="s">
        <v>5</v>
      </c>
      <c r="B2" s="2" t="s">
        <v>6</v>
      </c>
      <c r="C2" s="2" t="n">
        <v>4</v>
      </c>
      <c r="D2" s="2" t="s">
        <v>7</v>
      </c>
      <c r="E2" s="3" t="n">
        <f aca="false">4*190</f>
        <v>760</v>
      </c>
    </row>
    <row r="3" customFormat="false" ht="23.25" hidden="false" customHeight="true" outlineLevel="0" collapsed="false">
      <c r="A3" s="2" t="s">
        <v>8</v>
      </c>
      <c r="B3" s="2" t="s">
        <v>9</v>
      </c>
      <c r="C3" s="2" t="n">
        <v>4</v>
      </c>
      <c r="D3" s="2" t="s">
        <v>7</v>
      </c>
      <c r="E3" s="3" t="n">
        <f aca="false">4*200</f>
        <v>800</v>
      </c>
    </row>
    <row r="4" customFormat="false" ht="15" hidden="false" customHeight="true" outlineLevel="0" collapsed="false">
      <c r="A4" s="2" t="s">
        <v>10</v>
      </c>
      <c r="B4" s="2" t="s">
        <v>11</v>
      </c>
      <c r="C4" s="2" t="n">
        <v>4</v>
      </c>
      <c r="D4" s="2" t="s">
        <v>7</v>
      </c>
      <c r="E4" s="3" t="n">
        <f aca="false">4*120</f>
        <v>480</v>
      </c>
    </row>
    <row r="5" customFormat="false" ht="15" hidden="false" customHeight="true" outlineLevel="0" collapsed="false">
      <c r="A5" s="2" t="s">
        <v>12</v>
      </c>
      <c r="B5" s="2" t="s">
        <v>13</v>
      </c>
      <c r="C5" s="2" t="n">
        <v>1</v>
      </c>
      <c r="D5" s="2" t="s">
        <v>7</v>
      </c>
      <c r="E5" s="3" t="n">
        <f aca="false">1*250</f>
        <v>250</v>
      </c>
    </row>
    <row r="6" customFormat="false" ht="23.25" hidden="false" customHeight="true" outlineLevel="0" collapsed="false">
      <c r="A6" s="2" t="s">
        <v>14</v>
      </c>
      <c r="B6" s="2" t="s">
        <v>15</v>
      </c>
      <c r="C6" s="2" t="n">
        <v>3</v>
      </c>
      <c r="D6" s="2" t="s">
        <v>7</v>
      </c>
      <c r="E6" s="3" t="n">
        <f aca="false">3*350</f>
        <v>1050</v>
      </c>
    </row>
    <row r="7" customFormat="false" ht="23.25" hidden="false" customHeight="true" outlineLevel="0" collapsed="false">
      <c r="A7" s="2" t="s">
        <v>16</v>
      </c>
      <c r="B7" s="2" t="s">
        <v>17</v>
      </c>
      <c r="C7" s="2" t="n">
        <v>1</v>
      </c>
      <c r="D7" s="2" t="s">
        <v>7</v>
      </c>
      <c r="E7" s="3" t="n">
        <f aca="false">1*480</f>
        <v>480</v>
      </c>
    </row>
    <row r="8" customFormat="false" ht="15" hidden="false" customHeight="true" outlineLevel="0" collapsed="false">
      <c r="A8" s="2" t="s">
        <v>18</v>
      </c>
      <c r="B8" s="2" t="s">
        <v>19</v>
      </c>
      <c r="C8" s="2" t="n">
        <v>1</v>
      </c>
      <c r="D8" s="2" t="s">
        <v>7</v>
      </c>
      <c r="E8" s="3" t="n">
        <f aca="false">1*220</f>
        <v>220</v>
      </c>
    </row>
    <row r="9" customFormat="false" ht="15" hidden="false" customHeight="true" outlineLevel="0" collapsed="false">
      <c r="A9" s="2" t="s">
        <v>20</v>
      </c>
      <c r="B9" s="2" t="s">
        <v>21</v>
      </c>
      <c r="C9" s="2" t="n">
        <v>1</v>
      </c>
      <c r="D9" s="2" t="s">
        <v>7</v>
      </c>
      <c r="E9" s="3" t="n">
        <f aca="false">1*30</f>
        <v>30</v>
      </c>
    </row>
    <row r="10" customFormat="false" ht="15" hidden="false" customHeight="true" outlineLevel="0" collapsed="false">
      <c r="A10" s="2" t="s">
        <v>22</v>
      </c>
      <c r="B10" s="2" t="s">
        <v>23</v>
      </c>
      <c r="C10" s="2" t="n">
        <v>1</v>
      </c>
      <c r="D10" s="2" t="s">
        <v>7</v>
      </c>
      <c r="E10" s="3" t="n">
        <f aca="false">1*850</f>
        <v>850</v>
      </c>
    </row>
    <row r="11" customFormat="false" ht="23.25" hidden="false" customHeight="true" outlineLevel="0" collapsed="false">
      <c r="A11" s="2" t="s">
        <v>24</v>
      </c>
      <c r="B11" s="2" t="s">
        <v>25</v>
      </c>
      <c r="C11" s="2" t="n">
        <v>1</v>
      </c>
      <c r="D11" s="2" t="s">
        <v>7</v>
      </c>
      <c r="E11" s="3" t="n">
        <f aca="false">1*250</f>
        <v>250</v>
      </c>
    </row>
    <row r="12" customFormat="false" ht="15" hidden="false" customHeight="true" outlineLevel="0" collapsed="false">
      <c r="A12" s="2" t="s">
        <v>26</v>
      </c>
      <c r="B12" s="2" t="s">
        <v>27</v>
      </c>
      <c r="C12" s="2" t="n">
        <v>1</v>
      </c>
      <c r="D12" s="2" t="s">
        <v>7</v>
      </c>
      <c r="E12" s="3" t="n">
        <f aca="false">1*250</f>
        <v>250</v>
      </c>
    </row>
    <row r="13" customFormat="false" ht="23.25" hidden="false" customHeight="true" outlineLevel="0" collapsed="false">
      <c r="A13" s="2" t="s">
        <v>28</v>
      </c>
      <c r="B13" s="2" t="s">
        <v>29</v>
      </c>
      <c r="C13" s="2" t="n">
        <v>2</v>
      </c>
      <c r="D13" s="2" t="s">
        <v>7</v>
      </c>
      <c r="E13" s="3" t="n">
        <f aca="false">2*75</f>
        <v>150</v>
      </c>
    </row>
    <row r="14" customFormat="false" ht="15" hidden="false" customHeight="true" outlineLevel="0" collapsed="false">
      <c r="A14" s="2" t="s">
        <v>30</v>
      </c>
      <c r="B14" s="2" t="s">
        <v>31</v>
      </c>
      <c r="C14" s="2" t="n">
        <v>1</v>
      </c>
      <c r="D14" s="2" t="s">
        <v>7</v>
      </c>
      <c r="E14" s="3" t="n">
        <f aca="false">1*550</f>
        <v>550</v>
      </c>
    </row>
    <row r="15" customFormat="false" ht="23.25" hidden="false" customHeight="true" outlineLevel="0" collapsed="false">
      <c r="A15" s="2" t="s">
        <v>32</v>
      </c>
      <c r="B15" s="2" t="s">
        <v>33</v>
      </c>
      <c r="C15" s="2" t="n">
        <v>1</v>
      </c>
      <c r="D15" s="2" t="s">
        <v>7</v>
      </c>
      <c r="E15" s="3" t="n">
        <f aca="false">1*280</f>
        <v>280</v>
      </c>
    </row>
    <row r="16" customFormat="false" ht="15" hidden="false" customHeight="true" outlineLevel="0" collapsed="false">
      <c r="A16" s="2" t="s">
        <v>34</v>
      </c>
      <c r="B16" s="2" t="s">
        <v>35</v>
      </c>
      <c r="C16" s="2" t="n">
        <v>1</v>
      </c>
      <c r="D16" s="2" t="s">
        <v>7</v>
      </c>
      <c r="E16" s="3" t="n">
        <f aca="false">1*120</f>
        <v>120</v>
      </c>
    </row>
    <row r="17" customFormat="false" ht="15" hidden="false" customHeight="true" outlineLevel="0" collapsed="false">
      <c r="A17" s="2" t="s">
        <v>36</v>
      </c>
      <c r="B17" s="2" t="s">
        <v>37</v>
      </c>
      <c r="C17" s="2" t="n">
        <v>1</v>
      </c>
      <c r="D17" s="2" t="s">
        <v>7</v>
      </c>
      <c r="E17" s="3" t="n">
        <f aca="false">1*350</f>
        <v>350</v>
      </c>
    </row>
    <row r="18" customFormat="false" ht="15" hidden="false" customHeight="true" outlineLevel="0" collapsed="false">
      <c r="A18" s="2" t="s">
        <v>38</v>
      </c>
      <c r="B18" s="2" t="s">
        <v>39</v>
      </c>
      <c r="C18" s="2" t="n">
        <v>2</v>
      </c>
      <c r="D18" s="2" t="s">
        <v>7</v>
      </c>
      <c r="E18" s="3" t="n">
        <f aca="false">2*40</f>
        <v>80</v>
      </c>
    </row>
    <row r="19" customFormat="false" ht="23.25" hidden="false" customHeight="true" outlineLevel="0" collapsed="false">
      <c r="A19" s="2" t="s">
        <v>40</v>
      </c>
      <c r="B19" s="2" t="s">
        <v>41</v>
      </c>
      <c r="C19" s="2" t="n">
        <v>1</v>
      </c>
      <c r="D19" s="2" t="s">
        <v>7</v>
      </c>
      <c r="E19" s="3" t="n">
        <f aca="false">1*150</f>
        <v>150</v>
      </c>
    </row>
    <row r="20" customFormat="false" ht="15" hidden="false" customHeight="true" outlineLevel="0" collapsed="false">
      <c r="A20" s="2" t="s">
        <v>42</v>
      </c>
      <c r="B20" s="2" t="s">
        <v>43</v>
      </c>
      <c r="C20" s="2" t="n">
        <v>4</v>
      </c>
      <c r="D20" s="2" t="s">
        <v>7</v>
      </c>
      <c r="E20" s="3" t="n">
        <f aca="false">4*30</f>
        <v>120</v>
      </c>
    </row>
    <row r="21" customFormat="false" ht="23.25" hidden="false" customHeight="true" outlineLevel="0" collapsed="false">
      <c r="A21" s="2" t="s">
        <v>44</v>
      </c>
      <c r="B21" s="2" t="s">
        <v>45</v>
      </c>
      <c r="C21" s="2" t="n">
        <v>4</v>
      </c>
      <c r="D21" s="2" t="s">
        <v>7</v>
      </c>
      <c r="E21" s="3" t="n">
        <f aca="false">4*588</f>
        <v>2352</v>
      </c>
    </row>
    <row r="22" customFormat="false" ht="15" hidden="false" customHeight="true" outlineLevel="0" collapsed="false">
      <c r="A22" s="2" t="s">
        <v>46</v>
      </c>
      <c r="B22" s="2" t="s">
        <v>47</v>
      </c>
      <c r="C22" s="2" t="n">
        <v>4</v>
      </c>
      <c r="D22" s="2" t="s">
        <v>7</v>
      </c>
      <c r="E22" s="3" t="n">
        <f aca="false">4*40</f>
        <v>160</v>
      </c>
    </row>
    <row r="23" customFormat="false" ht="15" hidden="false" customHeight="true" outlineLevel="0" collapsed="false">
      <c r="A23" s="2" t="s">
        <v>48</v>
      </c>
      <c r="B23" s="2" t="s">
        <v>49</v>
      </c>
      <c r="C23" s="2" t="n">
        <v>1</v>
      </c>
      <c r="D23" s="2" t="s">
        <v>7</v>
      </c>
      <c r="E23" s="3" t="n">
        <f aca="false">1*1700</f>
        <v>1700</v>
      </c>
    </row>
    <row r="24" customFormat="false" ht="23.25" hidden="false" customHeight="true" outlineLevel="0" collapsed="false">
      <c r="A24" s="2" t="s">
        <v>50</v>
      </c>
      <c r="B24" s="2" t="s">
        <v>51</v>
      </c>
      <c r="C24" s="2" t="n">
        <v>1</v>
      </c>
      <c r="D24" s="2" t="s">
        <v>52</v>
      </c>
      <c r="E24" s="3" t="n">
        <f aca="false">1*180</f>
        <v>180</v>
      </c>
    </row>
    <row r="25" customFormat="false" ht="23.25" hidden="false" customHeight="true" outlineLevel="0" collapsed="false">
      <c r="A25" s="2" t="s">
        <v>53</v>
      </c>
      <c r="B25" s="2" t="s">
        <v>54</v>
      </c>
      <c r="C25" s="2" t="n">
        <v>1</v>
      </c>
      <c r="D25" s="2" t="s">
        <v>7</v>
      </c>
      <c r="E25" s="3" t="n">
        <f aca="false">1*200</f>
        <v>200</v>
      </c>
    </row>
    <row r="26" customFormat="false" ht="15" hidden="false" customHeight="true" outlineLevel="0" collapsed="false">
      <c r="A26" s="2" t="s">
        <v>55</v>
      </c>
      <c r="B26" s="2" t="s">
        <v>56</v>
      </c>
      <c r="C26" s="2" t="n">
        <v>2</v>
      </c>
      <c r="D26" s="2" t="s">
        <v>7</v>
      </c>
      <c r="E26" s="3" t="n">
        <f aca="false">2*45</f>
        <v>90</v>
      </c>
    </row>
    <row r="27" customFormat="false" ht="15" hidden="false" customHeight="true" outlineLevel="0" collapsed="false">
      <c r="A27" s="2" t="s">
        <v>57</v>
      </c>
      <c r="B27" s="2" t="s">
        <v>58</v>
      </c>
      <c r="C27" s="2" t="n">
        <v>2</v>
      </c>
      <c r="D27" s="2" t="s">
        <v>7</v>
      </c>
      <c r="E27" s="3" t="n">
        <f aca="false">2*15</f>
        <v>30</v>
      </c>
    </row>
    <row r="28" customFormat="false" ht="23.25" hidden="false" customHeight="true" outlineLevel="0" collapsed="false">
      <c r="A28" s="2" t="s">
        <v>59</v>
      </c>
      <c r="B28" s="2" t="s">
        <v>60</v>
      </c>
      <c r="C28" s="2" t="n">
        <v>1</v>
      </c>
      <c r="D28" s="2" t="s">
        <v>7</v>
      </c>
      <c r="E28" s="3" t="n">
        <f aca="false">1*60</f>
        <v>60</v>
      </c>
    </row>
    <row r="29" customFormat="false" ht="15" hidden="false" customHeight="true" outlineLevel="0" collapsed="false">
      <c r="A29" s="2" t="s">
        <v>61</v>
      </c>
      <c r="B29" s="2" t="s">
        <v>62</v>
      </c>
      <c r="C29" s="2" t="n">
        <v>1</v>
      </c>
      <c r="D29" s="2" t="s">
        <v>7</v>
      </c>
      <c r="E29" s="3" t="n">
        <f aca="false">1*10</f>
        <v>10</v>
      </c>
    </row>
    <row r="30" customFormat="false" ht="15" hidden="false" customHeight="true" outlineLevel="0" collapsed="false">
      <c r="A30" s="2" t="s">
        <v>63</v>
      </c>
      <c r="B30" s="2" t="s">
        <v>64</v>
      </c>
      <c r="C30" s="2" t="n">
        <v>1</v>
      </c>
      <c r="D30" s="2" t="s">
        <v>7</v>
      </c>
      <c r="E30" s="3" t="n">
        <f aca="false">1*150</f>
        <v>150</v>
      </c>
    </row>
    <row r="31" customFormat="false" ht="15" hidden="false" customHeight="true" outlineLevel="0" collapsed="false">
      <c r="A31" s="2" t="s">
        <v>65</v>
      </c>
      <c r="B31" s="2" t="s">
        <v>66</v>
      </c>
      <c r="C31" s="2" t="n">
        <v>1</v>
      </c>
      <c r="D31" s="2" t="s">
        <v>67</v>
      </c>
      <c r="E31" s="3" t="n">
        <f aca="false">1*150</f>
        <v>150</v>
      </c>
    </row>
    <row r="32" customFormat="false" ht="15" hidden="false" customHeight="true" outlineLevel="0" collapsed="false">
      <c r="A32" s="2" t="s">
        <v>68</v>
      </c>
      <c r="B32" s="2" t="s">
        <v>69</v>
      </c>
      <c r="C32" s="2" t="n">
        <v>1</v>
      </c>
      <c r="D32" s="2" t="s">
        <v>7</v>
      </c>
      <c r="E32" s="3" t="n">
        <f aca="false">1*60</f>
        <v>60</v>
      </c>
    </row>
    <row r="33" customFormat="false" ht="15" hidden="false" customHeight="true" outlineLevel="0" collapsed="false">
      <c r="A33" s="2" t="s">
        <v>70</v>
      </c>
      <c r="B33" s="2" t="s">
        <v>71</v>
      </c>
      <c r="C33" s="2" t="n">
        <v>1</v>
      </c>
      <c r="D33" s="2" t="s">
        <v>52</v>
      </c>
      <c r="E33" s="3" t="n">
        <f aca="false">1*100</f>
        <v>100</v>
      </c>
    </row>
    <row r="34" customFormat="false" ht="23.25" hidden="false" customHeight="true" outlineLevel="0" collapsed="false">
      <c r="A34" s="2" t="s">
        <v>72</v>
      </c>
      <c r="B34" s="2" t="s">
        <v>73</v>
      </c>
      <c r="C34" s="2" t="n">
        <v>1</v>
      </c>
      <c r="D34" s="2" t="s">
        <v>52</v>
      </c>
      <c r="E34" s="3" t="n">
        <f aca="false">1*150</f>
        <v>150</v>
      </c>
    </row>
    <row r="35" customFormat="false" ht="15" hidden="false" customHeight="true" outlineLevel="0" collapsed="false">
      <c r="A35" s="2" t="s">
        <v>74</v>
      </c>
      <c r="B35" s="2" t="s">
        <v>75</v>
      </c>
      <c r="C35" s="2" t="n">
        <v>1</v>
      </c>
      <c r="D35" s="2" t="s">
        <v>7</v>
      </c>
      <c r="E35" s="3" t="n">
        <f aca="false">1*50</f>
        <v>50</v>
      </c>
    </row>
    <row r="36" customFormat="false" ht="23.25" hidden="false" customHeight="true" outlineLevel="0" collapsed="false">
      <c r="A36" s="2" t="s">
        <v>76</v>
      </c>
      <c r="B36" s="2" t="s">
        <v>77</v>
      </c>
      <c r="C36" s="2" t="n">
        <v>1</v>
      </c>
      <c r="D36" s="2" t="s">
        <v>52</v>
      </c>
      <c r="E36" s="3" t="n">
        <f aca="false">1*200</f>
        <v>200</v>
      </c>
    </row>
    <row r="37" customFormat="false" ht="15" hidden="false" customHeight="true" outlineLevel="0" collapsed="false">
      <c r="A37" s="2" t="s">
        <v>78</v>
      </c>
      <c r="B37" s="2" t="s">
        <v>79</v>
      </c>
      <c r="C37" s="2" t="n">
        <v>1</v>
      </c>
      <c r="D37" s="2" t="s">
        <v>52</v>
      </c>
      <c r="E37" s="3" t="n">
        <f aca="false">1*100</f>
        <v>100</v>
      </c>
    </row>
    <row r="38" customFormat="false" ht="23.25" hidden="false" customHeight="true" outlineLevel="0" collapsed="false">
      <c r="A38" s="2" t="s">
        <v>80</v>
      </c>
      <c r="B38" s="2" t="s">
        <v>81</v>
      </c>
      <c r="C38" s="2" t="n">
        <v>1</v>
      </c>
      <c r="D38" s="2" t="s">
        <v>7</v>
      </c>
      <c r="E38" s="3" t="n">
        <f aca="false">1*250</f>
        <v>250</v>
      </c>
    </row>
    <row r="39" customFormat="false" ht="23.25" hidden="false" customHeight="true" outlineLevel="0" collapsed="false">
      <c r="A39" s="2" t="s">
        <v>82</v>
      </c>
      <c r="B39" s="2" t="s">
        <v>83</v>
      </c>
      <c r="C39" s="2" t="n">
        <v>1</v>
      </c>
      <c r="D39" s="2" t="s">
        <v>7</v>
      </c>
      <c r="E39" s="3" t="n">
        <f aca="false">1*1500</f>
        <v>1500</v>
      </c>
    </row>
    <row r="40" customFormat="false" ht="23.25" hidden="false" customHeight="true" outlineLevel="0" collapsed="false">
      <c r="A40" s="2" t="s">
        <v>84</v>
      </c>
      <c r="B40" s="2" t="s">
        <v>85</v>
      </c>
      <c r="C40" s="2" t="n">
        <v>1</v>
      </c>
      <c r="D40" s="2" t="s">
        <v>7</v>
      </c>
      <c r="E40" s="3" t="n">
        <f aca="false">1*250</f>
        <v>250</v>
      </c>
    </row>
    <row r="41" customFormat="false" ht="23.25" hidden="false" customHeight="true" outlineLevel="0" collapsed="false">
      <c r="A41" s="2" t="s">
        <v>86</v>
      </c>
      <c r="B41" s="2" t="s">
        <v>87</v>
      </c>
      <c r="C41" s="2" t="n">
        <v>1</v>
      </c>
      <c r="D41" s="2" t="s">
        <v>7</v>
      </c>
      <c r="E41" s="3" t="n">
        <f aca="false">1*250</f>
        <v>250</v>
      </c>
    </row>
    <row r="42" customFormat="false" ht="15" hidden="false" customHeight="true" outlineLevel="0" collapsed="false">
      <c r="A42" s="2" t="s">
        <v>88</v>
      </c>
      <c r="B42" s="2" t="s">
        <v>89</v>
      </c>
      <c r="C42" s="2" t="n">
        <v>1</v>
      </c>
      <c r="D42" s="2" t="s">
        <v>7</v>
      </c>
      <c r="E42" s="3" t="n">
        <f aca="false">1*60</f>
        <v>60</v>
      </c>
    </row>
    <row r="43" customFormat="false" ht="15" hidden="false" customHeight="true" outlineLevel="0" collapsed="false">
      <c r="A43" s="2" t="s">
        <v>90</v>
      </c>
      <c r="B43" s="2" t="s">
        <v>91</v>
      </c>
      <c r="C43" s="2" t="n">
        <v>2</v>
      </c>
      <c r="D43" s="2" t="s">
        <v>7</v>
      </c>
      <c r="E43" s="3" t="n">
        <f aca="false">2*5</f>
        <v>10</v>
      </c>
    </row>
    <row r="44" customFormat="false" ht="15" hidden="false" customHeight="true" outlineLevel="0" collapsed="false">
      <c r="A44" s="2" t="s">
        <v>92</v>
      </c>
      <c r="B44" s="2" t="s">
        <v>93</v>
      </c>
      <c r="C44" s="2" t="n">
        <v>1</v>
      </c>
      <c r="D44" s="2" t="s">
        <v>7</v>
      </c>
      <c r="E44" s="3" t="n">
        <f aca="false">1*50</f>
        <v>50</v>
      </c>
    </row>
    <row r="45" customFormat="false" ht="15" hidden="false" customHeight="true" outlineLevel="0" collapsed="false">
      <c r="A45" s="2" t="s">
        <v>94</v>
      </c>
      <c r="B45" s="2" t="s">
        <v>95</v>
      </c>
      <c r="C45" s="2" t="n">
        <v>1</v>
      </c>
      <c r="D45" s="2" t="s">
        <v>7</v>
      </c>
      <c r="E45" s="3" t="n">
        <f aca="false">1*30</f>
        <v>30</v>
      </c>
    </row>
    <row r="46" customFormat="false" ht="23.25" hidden="false" customHeight="true" outlineLevel="0" collapsed="false">
      <c r="A46" s="2" t="s">
        <v>96</v>
      </c>
      <c r="B46" s="2" t="s">
        <v>97</v>
      </c>
      <c r="C46" s="2" t="n">
        <v>1</v>
      </c>
      <c r="D46" s="2" t="s">
        <v>7</v>
      </c>
      <c r="E46" s="3" t="n">
        <f aca="false">1*20</f>
        <v>20</v>
      </c>
    </row>
    <row r="47" customFormat="false" ht="15" hidden="false" customHeight="true" outlineLevel="0" collapsed="false">
      <c r="A47" s="2" t="s">
        <v>98</v>
      </c>
      <c r="B47" s="2" t="s">
        <v>99</v>
      </c>
      <c r="C47" s="2" t="n">
        <v>1</v>
      </c>
      <c r="D47" s="2" t="s">
        <v>7</v>
      </c>
      <c r="E47" s="3" t="n">
        <f aca="false">1*80</f>
        <v>80</v>
      </c>
    </row>
    <row r="48" customFormat="false" ht="15" hidden="false" customHeight="true" outlineLevel="0" collapsed="false">
      <c r="A48" s="2" t="s">
        <v>100</v>
      </c>
      <c r="B48" s="2" t="s">
        <v>101</v>
      </c>
      <c r="C48" s="2" t="n">
        <v>2</v>
      </c>
      <c r="D48" s="2" t="s">
        <v>7</v>
      </c>
      <c r="E48" s="3" t="n">
        <f aca="false">2*30</f>
        <v>60</v>
      </c>
    </row>
    <row r="49" customFormat="false" ht="23.25" hidden="false" customHeight="true" outlineLevel="0" collapsed="false">
      <c r="A49" s="2" t="s">
        <v>102</v>
      </c>
      <c r="B49" s="2" t="s">
        <v>103</v>
      </c>
      <c r="C49" s="2" t="n">
        <v>1</v>
      </c>
      <c r="D49" s="2" t="s">
        <v>7</v>
      </c>
      <c r="E49" s="3" t="n">
        <f aca="false">1*350</f>
        <v>350</v>
      </c>
    </row>
    <row r="50" customFormat="false" ht="15" hidden="false" customHeight="true" outlineLevel="0" collapsed="false">
      <c r="A50" s="2" t="s">
        <v>104</v>
      </c>
      <c r="B50" s="2" t="s">
        <v>105</v>
      </c>
      <c r="C50" s="2" t="n">
        <v>2</v>
      </c>
      <c r="D50" s="2" t="s">
        <v>7</v>
      </c>
      <c r="E50" s="3" t="n">
        <f aca="false">2*160</f>
        <v>320</v>
      </c>
    </row>
    <row r="51" customFormat="false" ht="15" hidden="false" customHeight="true" outlineLevel="0" collapsed="false">
      <c r="A51" s="2" t="s">
        <v>106</v>
      </c>
      <c r="B51" s="2" t="s">
        <v>107</v>
      </c>
      <c r="C51" s="2" t="n">
        <v>1</v>
      </c>
      <c r="D51" s="2" t="s">
        <v>7</v>
      </c>
      <c r="E51" s="3" t="n">
        <f aca="false">1*150</f>
        <v>150</v>
      </c>
    </row>
    <row r="52" customFormat="false" ht="15" hidden="false" customHeight="true" outlineLevel="0" collapsed="false">
      <c r="A52" s="2" t="s">
        <v>108</v>
      </c>
      <c r="B52" s="2" t="s">
        <v>109</v>
      </c>
      <c r="C52" s="2" t="n">
        <v>1</v>
      </c>
      <c r="D52" s="2" t="s">
        <v>7</v>
      </c>
      <c r="E52" s="3" t="n">
        <f aca="false">1*150</f>
        <v>150</v>
      </c>
    </row>
    <row r="53" customFormat="false" ht="15" hidden="false" customHeight="true" outlineLevel="0" collapsed="false">
      <c r="A53" s="2" t="s">
        <v>110</v>
      </c>
      <c r="B53" s="2" t="s">
        <v>111</v>
      </c>
      <c r="C53" s="2" t="n">
        <v>1</v>
      </c>
      <c r="D53" s="2" t="s">
        <v>7</v>
      </c>
      <c r="E53" s="3" t="n">
        <f aca="false">1*350</f>
        <v>350</v>
      </c>
    </row>
    <row r="54" customFormat="false" ht="15" hidden="false" customHeight="true" outlineLevel="0" collapsed="false">
      <c r="A54" s="2" t="s">
        <v>112</v>
      </c>
      <c r="B54" s="2" t="s">
        <v>113</v>
      </c>
      <c r="C54" s="2" t="n">
        <v>20</v>
      </c>
      <c r="D54" s="2" t="s">
        <v>7</v>
      </c>
      <c r="E54" s="3" t="n">
        <f aca="false">20*6</f>
        <v>120</v>
      </c>
    </row>
    <row r="55" customFormat="false" ht="15" hidden="false" customHeight="true" outlineLevel="0" collapsed="false">
      <c r="A55" s="2" t="s">
        <v>114</v>
      </c>
      <c r="B55" s="2" t="s">
        <v>115</v>
      </c>
      <c r="C55" s="2" t="n">
        <v>5</v>
      </c>
      <c r="D55" s="2" t="s">
        <v>7</v>
      </c>
      <c r="E55" s="3" t="n">
        <f aca="false">5*70</f>
        <v>350</v>
      </c>
    </row>
    <row r="56" customFormat="false" ht="15" hidden="false" customHeight="true" outlineLevel="0" collapsed="false">
      <c r="A56" s="2" t="s">
        <v>116</v>
      </c>
      <c r="B56" s="2" t="s">
        <v>117</v>
      </c>
      <c r="C56" s="2" t="n">
        <v>2</v>
      </c>
      <c r="D56" s="2" t="s">
        <v>7</v>
      </c>
      <c r="E56" s="3" t="n">
        <f aca="false">2*60</f>
        <v>120</v>
      </c>
    </row>
    <row r="57" customFormat="false" ht="15" hidden="false" customHeight="true" outlineLevel="0" collapsed="false">
      <c r="A57" s="2" t="s">
        <v>118</v>
      </c>
      <c r="B57" s="2" t="s">
        <v>119</v>
      </c>
      <c r="C57" s="2" t="n">
        <v>2</v>
      </c>
      <c r="D57" s="2" t="s">
        <v>7</v>
      </c>
      <c r="E57" s="3" t="n">
        <f aca="false">2*175</f>
        <v>350</v>
      </c>
    </row>
    <row r="58" customFormat="false" ht="15" hidden="false" customHeight="true" outlineLevel="0" collapsed="false">
      <c r="A58" s="2" t="s">
        <v>120</v>
      </c>
      <c r="B58" s="2" t="s">
        <v>121</v>
      </c>
      <c r="C58" s="2" t="n">
        <v>1</v>
      </c>
      <c r="D58" s="2" t="s">
        <v>7</v>
      </c>
      <c r="E58" s="3" t="n">
        <f aca="false">1*300</f>
        <v>300</v>
      </c>
    </row>
    <row r="59" customFormat="false" ht="15" hidden="false" customHeight="true" outlineLevel="0" collapsed="false">
      <c r="A59" s="2" t="s">
        <v>122</v>
      </c>
      <c r="B59" s="2" t="s">
        <v>123</v>
      </c>
      <c r="C59" s="2" t="n">
        <v>1</v>
      </c>
      <c r="D59" s="2" t="s">
        <v>7</v>
      </c>
      <c r="E59" s="3" t="n">
        <f aca="false">1*200</f>
        <v>200</v>
      </c>
    </row>
    <row r="60" customFormat="false" ht="15" hidden="false" customHeight="true" outlineLevel="0" collapsed="false">
      <c r="A60" s="2" t="s">
        <v>124</v>
      </c>
      <c r="B60" s="2" t="s">
        <v>125</v>
      </c>
      <c r="C60" s="2" t="n">
        <v>1</v>
      </c>
      <c r="D60" s="2" t="s">
        <v>7</v>
      </c>
      <c r="E60" s="3" t="n">
        <f aca="false">1*150</f>
        <v>150</v>
      </c>
    </row>
    <row r="61" customFormat="false" ht="15" hidden="false" customHeight="true" outlineLevel="0" collapsed="false">
      <c r="A61" s="2" t="s">
        <v>126</v>
      </c>
      <c r="B61" s="2" t="s">
        <v>127</v>
      </c>
      <c r="C61" s="2" t="n">
        <v>1</v>
      </c>
      <c r="D61" s="2" t="s">
        <v>7</v>
      </c>
      <c r="E61" s="3" t="n">
        <f aca="false">1*300</f>
        <v>300</v>
      </c>
    </row>
    <row r="62" customFormat="false" ht="15" hidden="false" customHeight="true" outlineLevel="0" collapsed="false">
      <c r="A62" s="2" t="s">
        <v>128</v>
      </c>
      <c r="B62" s="2" t="s">
        <v>129</v>
      </c>
      <c r="C62" s="2" t="n">
        <v>1</v>
      </c>
      <c r="D62" s="2" t="s">
        <v>7</v>
      </c>
      <c r="E62" s="3" t="n">
        <f aca="false">1*100</f>
        <v>100</v>
      </c>
    </row>
    <row r="63" customFormat="false" ht="15" hidden="false" customHeight="true" outlineLevel="0" collapsed="false">
      <c r="A63" s="2" t="s">
        <v>130</v>
      </c>
      <c r="B63" s="2" t="s">
        <v>131</v>
      </c>
      <c r="C63" s="2" t="n">
        <v>1</v>
      </c>
      <c r="D63" s="2" t="s">
        <v>52</v>
      </c>
      <c r="E63" s="3" t="n">
        <f aca="false">1*400</f>
        <v>400</v>
      </c>
    </row>
    <row r="64" customFormat="false" ht="15" hidden="false" customHeight="true" outlineLevel="0" collapsed="false">
      <c r="A64" s="2" t="s">
        <v>132</v>
      </c>
      <c r="B64" s="2" t="s">
        <v>133</v>
      </c>
      <c r="C64" s="2" t="n">
        <v>1</v>
      </c>
      <c r="D64" s="2" t="s">
        <v>52</v>
      </c>
      <c r="E64" s="3" t="n">
        <f aca="false">1*400</f>
        <v>400</v>
      </c>
    </row>
    <row r="65" customFormat="false" ht="15" hidden="false" customHeight="true" outlineLevel="0" collapsed="false">
      <c r="A65" s="2" t="s">
        <v>134</v>
      </c>
      <c r="B65" s="2" t="s">
        <v>135</v>
      </c>
      <c r="C65" s="2" t="n">
        <v>1</v>
      </c>
      <c r="D65" s="2" t="s">
        <v>7</v>
      </c>
      <c r="E65" s="3" t="n">
        <f aca="false">1*700</f>
        <v>700</v>
      </c>
    </row>
    <row r="66" customFormat="false" ht="15" hidden="false" customHeight="true" outlineLevel="0" collapsed="false">
      <c r="A66" s="2" t="s">
        <v>136</v>
      </c>
      <c r="B66" s="2" t="s">
        <v>137</v>
      </c>
      <c r="C66" s="2" t="n">
        <v>1</v>
      </c>
      <c r="D66" s="2" t="s">
        <v>52</v>
      </c>
      <c r="E66" s="3" t="n">
        <f aca="false">1*150</f>
        <v>150</v>
      </c>
    </row>
    <row r="67" customFormat="false" ht="23.25" hidden="false" customHeight="true" outlineLevel="0" collapsed="false">
      <c r="A67" s="2" t="s">
        <v>138</v>
      </c>
      <c r="B67" s="2" t="s">
        <v>139</v>
      </c>
      <c r="C67" s="2" t="n">
        <v>1</v>
      </c>
      <c r="D67" s="2" t="s">
        <v>7</v>
      </c>
      <c r="E67" s="3" t="n">
        <f aca="false">1*150</f>
        <v>150</v>
      </c>
    </row>
    <row r="68" customFormat="false" ht="15" hidden="false" customHeight="true" outlineLevel="0" collapsed="false">
      <c r="A68" s="2" t="s">
        <v>140</v>
      </c>
      <c r="B68" s="2" t="s">
        <v>141</v>
      </c>
      <c r="C68" s="2" t="n">
        <v>1</v>
      </c>
      <c r="D68" s="2" t="s">
        <v>7</v>
      </c>
      <c r="E68" s="3" t="n">
        <f aca="false">1*400</f>
        <v>400</v>
      </c>
    </row>
    <row r="69" customFormat="false" ht="15" hidden="false" customHeight="true" outlineLevel="0" collapsed="false">
      <c r="A69" s="2" t="s">
        <v>142</v>
      </c>
      <c r="B69" s="2" t="s">
        <v>143</v>
      </c>
      <c r="C69" s="2" t="n">
        <v>1</v>
      </c>
      <c r="D69" s="2" t="s">
        <v>7</v>
      </c>
      <c r="E69" s="3" t="n">
        <f aca="false">1*150</f>
        <v>150</v>
      </c>
    </row>
    <row r="70" customFormat="false" ht="15" hidden="false" customHeight="true" outlineLevel="0" collapsed="false">
      <c r="A70" s="2" t="s">
        <v>144</v>
      </c>
      <c r="B70" s="2" t="s">
        <v>145</v>
      </c>
      <c r="C70" s="2" t="n">
        <v>1</v>
      </c>
      <c r="D70" s="2" t="s">
        <v>7</v>
      </c>
      <c r="E70" s="3" t="n">
        <f aca="false">1*150</f>
        <v>150</v>
      </c>
    </row>
    <row r="71" customFormat="false" ht="15" hidden="false" customHeight="true" outlineLevel="0" collapsed="false">
      <c r="A71" s="2" t="s">
        <v>146</v>
      </c>
      <c r="B71" s="2" t="s">
        <v>147</v>
      </c>
      <c r="C71" s="2" t="n">
        <v>1</v>
      </c>
      <c r="D71" s="2" t="s">
        <v>7</v>
      </c>
      <c r="E71" s="3" t="n">
        <f aca="false">1*450</f>
        <v>450</v>
      </c>
    </row>
    <row r="72" customFormat="false" ht="15" hidden="false" customHeight="true" outlineLevel="0" collapsed="false">
      <c r="A72" s="2" t="s">
        <v>148</v>
      </c>
      <c r="B72" s="2" t="s">
        <v>149</v>
      </c>
      <c r="C72" s="2" t="n">
        <v>2</v>
      </c>
      <c r="D72" s="2" t="s">
        <v>7</v>
      </c>
      <c r="E72" s="3" t="n">
        <f aca="false">2*150</f>
        <v>300</v>
      </c>
    </row>
    <row r="73" customFormat="false" ht="23.25" hidden="false" customHeight="true" outlineLevel="0" collapsed="false">
      <c r="A73" s="2" t="s">
        <v>150</v>
      </c>
      <c r="B73" s="2" t="s">
        <v>151</v>
      </c>
      <c r="C73" s="2" t="n">
        <v>1</v>
      </c>
      <c r="D73" s="2" t="s">
        <v>52</v>
      </c>
      <c r="E73" s="3" t="n">
        <f aca="false">1*200</f>
        <v>200</v>
      </c>
    </row>
    <row r="74" customFormat="false" ht="15" hidden="false" customHeight="true" outlineLevel="0" collapsed="false">
      <c r="A74" s="2" t="s">
        <v>152</v>
      </c>
      <c r="B74" s="2" t="s">
        <v>153</v>
      </c>
      <c r="C74" s="2" t="n">
        <v>1</v>
      </c>
      <c r="D74" s="2" t="s">
        <v>7</v>
      </c>
      <c r="E74" s="3" t="n">
        <f aca="false">1*600</f>
        <v>600</v>
      </c>
    </row>
    <row r="75" customFormat="false" ht="15" hidden="false" customHeight="true" outlineLevel="0" collapsed="false">
      <c r="A75" s="2"/>
      <c r="B75" s="2"/>
      <c r="C75" s="2"/>
      <c r="D75" s="2" t="s">
        <v>154</v>
      </c>
      <c r="E75" s="3" t="n">
        <f aca="false">SUM(E2:E74)</f>
        <v>22882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0"/>
    <col collapsed="false" customWidth="true" hidden="false" outlineLevel="0" max="3" min="3" style="1" width="6"/>
    <col collapsed="false" customWidth="true" hidden="false" outlineLevel="0" max="4" min="4" style="1" width="18"/>
    <col collapsed="false" customWidth="true" hidden="false" outlineLevel="0" max="5" min="5" style="1" width="1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15" hidden="false" customHeight="true" outlineLevel="0" collapsed="false">
      <c r="A2" s="2" t="s">
        <v>155</v>
      </c>
      <c r="B2" s="2" t="s">
        <v>156</v>
      </c>
      <c r="C2" s="2" t="n">
        <v>2</v>
      </c>
      <c r="D2" s="2" t="s">
        <v>7</v>
      </c>
      <c r="E2" s="3" t="n">
        <f aca="false">2*190</f>
        <v>380</v>
      </c>
    </row>
    <row r="3" customFormat="false" ht="15" hidden="false" customHeight="true" outlineLevel="0" collapsed="false">
      <c r="A3" s="2" t="s">
        <v>157</v>
      </c>
      <c r="B3" s="2" t="s">
        <v>158</v>
      </c>
      <c r="C3" s="2" t="n">
        <v>2</v>
      </c>
      <c r="D3" s="2" t="s">
        <v>7</v>
      </c>
      <c r="E3" s="3" t="n">
        <f aca="false">2*200</f>
        <v>400</v>
      </c>
    </row>
    <row r="4" customFormat="false" ht="15" hidden="false" customHeight="true" outlineLevel="0" collapsed="false">
      <c r="A4" s="2" t="s">
        <v>159</v>
      </c>
      <c r="B4" s="2" t="s">
        <v>160</v>
      </c>
      <c r="C4" s="2" t="n">
        <v>3</v>
      </c>
      <c r="D4" s="2" t="s">
        <v>7</v>
      </c>
      <c r="E4" s="3" t="n">
        <f aca="false">3*120</f>
        <v>360</v>
      </c>
    </row>
    <row r="5" customFormat="false" ht="15" hidden="false" customHeight="true" outlineLevel="0" collapsed="false">
      <c r="A5" s="2" t="s">
        <v>161</v>
      </c>
      <c r="B5" s="2" t="s">
        <v>162</v>
      </c>
      <c r="C5" s="2" t="n">
        <v>1</v>
      </c>
      <c r="D5" s="2" t="s">
        <v>7</v>
      </c>
      <c r="E5" s="3" t="n">
        <f aca="false">1*350</f>
        <v>350</v>
      </c>
    </row>
    <row r="6" customFormat="false" ht="15" hidden="false" customHeight="true" outlineLevel="0" collapsed="false">
      <c r="A6" s="2" t="s">
        <v>163</v>
      </c>
      <c r="B6" s="2" t="s">
        <v>164</v>
      </c>
      <c r="C6" s="2" t="n">
        <v>1</v>
      </c>
      <c r="D6" s="2" t="s">
        <v>7</v>
      </c>
      <c r="E6" s="3" t="n">
        <f aca="false">1*250</f>
        <v>250</v>
      </c>
    </row>
    <row r="7" customFormat="false" ht="15" hidden="false" customHeight="true" outlineLevel="0" collapsed="false">
      <c r="A7" s="2" t="s">
        <v>165</v>
      </c>
      <c r="B7" s="2" t="s">
        <v>166</v>
      </c>
      <c r="C7" s="2" t="n">
        <v>1</v>
      </c>
      <c r="D7" s="2" t="s">
        <v>7</v>
      </c>
      <c r="E7" s="3" t="n">
        <f aca="false">1*220</f>
        <v>220</v>
      </c>
    </row>
    <row r="8" customFormat="false" ht="15" hidden="false" customHeight="true" outlineLevel="0" collapsed="false">
      <c r="A8" s="2" t="s">
        <v>167</v>
      </c>
      <c r="B8" s="2" t="s">
        <v>168</v>
      </c>
      <c r="C8" s="2" t="n">
        <v>1</v>
      </c>
      <c r="D8" s="2" t="s">
        <v>7</v>
      </c>
      <c r="E8" s="3" t="n">
        <f aca="false">1*30</f>
        <v>30</v>
      </c>
    </row>
    <row r="9" customFormat="false" ht="15" hidden="false" customHeight="true" outlineLevel="0" collapsed="false">
      <c r="A9" s="2" t="s">
        <v>169</v>
      </c>
      <c r="B9" s="2" t="s">
        <v>170</v>
      </c>
      <c r="C9" s="2" t="n">
        <v>1</v>
      </c>
      <c r="D9" s="2" t="s">
        <v>7</v>
      </c>
      <c r="E9" s="3" t="n">
        <f aca="false">1*250</f>
        <v>250</v>
      </c>
    </row>
    <row r="10" customFormat="false" ht="15" hidden="false" customHeight="true" outlineLevel="0" collapsed="false">
      <c r="A10" s="2" t="s">
        <v>171</v>
      </c>
      <c r="B10" s="2" t="s">
        <v>172</v>
      </c>
      <c r="C10" s="2" t="n">
        <v>1</v>
      </c>
      <c r="D10" s="2" t="s">
        <v>7</v>
      </c>
      <c r="E10" s="3" t="n">
        <f aca="false">1*75</f>
        <v>75</v>
      </c>
    </row>
    <row r="11" customFormat="false" ht="15" hidden="false" customHeight="true" outlineLevel="0" collapsed="false">
      <c r="A11" s="2" t="s">
        <v>173</v>
      </c>
      <c r="B11" s="2" t="s">
        <v>174</v>
      </c>
      <c r="C11" s="2" t="n">
        <v>1</v>
      </c>
      <c r="D11" s="2" t="s">
        <v>7</v>
      </c>
      <c r="E11" s="3" t="n">
        <f aca="false">1*850</f>
        <v>850</v>
      </c>
    </row>
    <row r="12" customFormat="false" ht="15" hidden="false" customHeight="true" outlineLevel="0" collapsed="false">
      <c r="A12" s="2" t="s">
        <v>175</v>
      </c>
      <c r="B12" s="2" t="s">
        <v>176</v>
      </c>
      <c r="C12" s="2" t="n">
        <v>1</v>
      </c>
      <c r="D12" s="2" t="s">
        <v>7</v>
      </c>
      <c r="E12" s="3" t="n">
        <f aca="false">1*100</f>
        <v>100</v>
      </c>
    </row>
    <row r="13" customFormat="false" ht="15" hidden="false" customHeight="true" outlineLevel="0" collapsed="false">
      <c r="A13" s="2" t="s">
        <v>177</v>
      </c>
      <c r="B13" s="2" t="s">
        <v>178</v>
      </c>
      <c r="C13" s="2" t="n">
        <v>2</v>
      </c>
      <c r="D13" s="2" t="s">
        <v>7</v>
      </c>
      <c r="E13" s="3" t="n">
        <f aca="false">2*120</f>
        <v>240</v>
      </c>
    </row>
    <row r="14" customFormat="false" ht="15" hidden="false" customHeight="true" outlineLevel="0" collapsed="false">
      <c r="A14" s="2" t="s">
        <v>179</v>
      </c>
      <c r="B14" s="2" t="s">
        <v>180</v>
      </c>
      <c r="C14" s="2" t="n">
        <v>1</v>
      </c>
      <c r="D14" s="2" t="s">
        <v>7</v>
      </c>
      <c r="E14" s="3" t="n">
        <f aca="false">1*280</f>
        <v>280</v>
      </c>
    </row>
    <row r="15" customFormat="false" ht="15" hidden="false" customHeight="true" outlineLevel="0" collapsed="false">
      <c r="A15" s="2" t="s">
        <v>181</v>
      </c>
      <c r="B15" s="2" t="s">
        <v>182</v>
      </c>
      <c r="C15" s="2" t="n">
        <v>2</v>
      </c>
      <c r="D15" s="2" t="s">
        <v>7</v>
      </c>
      <c r="E15" s="3" t="n">
        <f aca="false">2*588</f>
        <v>1176</v>
      </c>
    </row>
    <row r="16" customFormat="false" ht="15" hidden="false" customHeight="true" outlineLevel="0" collapsed="false">
      <c r="A16" s="2" t="s">
        <v>183</v>
      </c>
      <c r="B16" s="2" t="s">
        <v>184</v>
      </c>
      <c r="C16" s="2" t="n">
        <v>2</v>
      </c>
      <c r="D16" s="2" t="s">
        <v>7</v>
      </c>
      <c r="E16" s="3" t="n">
        <f aca="false">2*40</f>
        <v>80</v>
      </c>
    </row>
    <row r="17" customFormat="false" ht="15" hidden="false" customHeight="true" outlineLevel="0" collapsed="false">
      <c r="A17" s="2" t="s">
        <v>185</v>
      </c>
      <c r="B17" s="2" t="s">
        <v>186</v>
      </c>
      <c r="C17" s="2" t="n">
        <v>3</v>
      </c>
      <c r="D17" s="2" t="s">
        <v>7</v>
      </c>
      <c r="E17" s="3" t="n">
        <f aca="false">3*45</f>
        <v>135</v>
      </c>
    </row>
    <row r="18" customFormat="false" ht="15" hidden="false" customHeight="true" outlineLevel="0" collapsed="false">
      <c r="A18" s="2" t="s">
        <v>187</v>
      </c>
      <c r="B18" s="2" t="s">
        <v>188</v>
      </c>
      <c r="C18" s="2" t="n">
        <v>1</v>
      </c>
      <c r="D18" s="2" t="s">
        <v>7</v>
      </c>
      <c r="E18" s="3" t="n">
        <f aca="false">1*60</f>
        <v>60</v>
      </c>
    </row>
    <row r="19" customFormat="false" ht="15" hidden="false" customHeight="true" outlineLevel="0" collapsed="false">
      <c r="A19" s="2" t="s">
        <v>189</v>
      </c>
      <c r="B19" s="2" t="s">
        <v>190</v>
      </c>
      <c r="C19" s="2" t="n">
        <v>1</v>
      </c>
      <c r="D19" s="2" t="s">
        <v>7</v>
      </c>
      <c r="E19" s="3" t="n">
        <f aca="false">1*150</f>
        <v>150</v>
      </c>
    </row>
    <row r="20" customFormat="false" ht="15" hidden="false" customHeight="true" outlineLevel="0" collapsed="false">
      <c r="A20" s="2" t="s">
        <v>191</v>
      </c>
      <c r="B20" s="2" t="s">
        <v>192</v>
      </c>
      <c r="C20" s="2" t="n">
        <v>1</v>
      </c>
      <c r="D20" s="2" t="s">
        <v>7</v>
      </c>
      <c r="E20" s="3" t="n">
        <f aca="false">1*250</f>
        <v>250</v>
      </c>
    </row>
    <row r="21" customFormat="false" ht="15" hidden="false" customHeight="true" outlineLevel="0" collapsed="false">
      <c r="A21" s="2" t="s">
        <v>193</v>
      </c>
      <c r="B21" s="2" t="s">
        <v>194</v>
      </c>
      <c r="C21" s="2" t="n">
        <v>1</v>
      </c>
      <c r="D21" s="2" t="s">
        <v>7</v>
      </c>
      <c r="E21" s="3" t="n">
        <f aca="false">1*160</f>
        <v>160</v>
      </c>
    </row>
    <row r="22" customFormat="false" ht="15" hidden="false" customHeight="true" outlineLevel="0" collapsed="false">
      <c r="A22" s="2" t="s">
        <v>195</v>
      </c>
      <c r="B22" s="2" t="s">
        <v>196</v>
      </c>
      <c r="C22" s="2" t="n">
        <v>1</v>
      </c>
      <c r="D22" s="2" t="s">
        <v>7</v>
      </c>
      <c r="E22" s="3" t="n">
        <f aca="false">1*30</f>
        <v>30</v>
      </c>
    </row>
    <row r="23" customFormat="false" ht="15" hidden="false" customHeight="true" outlineLevel="0" collapsed="false">
      <c r="A23" s="2" t="s">
        <v>197</v>
      </c>
      <c r="B23" s="2" t="s">
        <v>198</v>
      </c>
      <c r="C23" s="2" t="n">
        <v>1</v>
      </c>
      <c r="D23" s="2" t="s">
        <v>7</v>
      </c>
      <c r="E23" s="3" t="n">
        <f aca="false">1*60</f>
        <v>60</v>
      </c>
    </row>
    <row r="24" customFormat="false" ht="15" hidden="false" customHeight="true" outlineLevel="0" collapsed="false">
      <c r="A24" s="2" t="s">
        <v>92</v>
      </c>
      <c r="B24" s="2" t="s">
        <v>199</v>
      </c>
      <c r="C24" s="2" t="n">
        <v>1</v>
      </c>
      <c r="D24" s="2" t="s">
        <v>7</v>
      </c>
      <c r="E24" s="3" t="n">
        <f aca="false">1*50</f>
        <v>50</v>
      </c>
    </row>
    <row r="25" customFormat="false" ht="15" hidden="false" customHeight="true" outlineLevel="0" collapsed="false">
      <c r="A25" s="2" t="s">
        <v>128</v>
      </c>
      <c r="B25" s="2" t="s">
        <v>200</v>
      </c>
      <c r="C25" s="2" t="n">
        <v>1</v>
      </c>
      <c r="D25" s="2" t="s">
        <v>7</v>
      </c>
      <c r="E25" s="3" t="n">
        <f aca="false">1*100</f>
        <v>100</v>
      </c>
    </row>
    <row r="26" customFormat="false" ht="15" hidden="false" customHeight="true" outlineLevel="0" collapsed="false">
      <c r="A26" s="2" t="s">
        <v>201</v>
      </c>
      <c r="B26" s="2" t="s">
        <v>202</v>
      </c>
      <c r="C26" s="2" t="n">
        <v>1</v>
      </c>
      <c r="D26" s="2" t="s">
        <v>7</v>
      </c>
      <c r="E26" s="3" t="n">
        <f aca="false">1*150</f>
        <v>150</v>
      </c>
    </row>
    <row r="27" customFormat="false" ht="15" hidden="false" customHeight="true" outlineLevel="0" collapsed="false">
      <c r="A27" s="2"/>
      <c r="B27" s="2"/>
      <c r="C27" s="2"/>
      <c r="D27" s="2" t="s">
        <v>154</v>
      </c>
      <c r="E27" s="3" t="n">
        <f aca="false">SUM(E2:E26)</f>
        <v>6186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0"/>
    <col collapsed="false" customWidth="true" hidden="false" outlineLevel="0" max="2" min="2" style="1" width="14"/>
  </cols>
  <sheetData>
    <row r="1" customFormat="false" ht="15" hidden="false" customHeight="true" outlineLevel="0" collapsed="false">
      <c r="A1" s="2" t="s">
        <v>203</v>
      </c>
      <c r="B1" s="3" t="s">
        <v>4</v>
      </c>
    </row>
    <row r="2" customFormat="false" ht="15" hidden="false" customHeight="true" outlineLevel="0" collapsed="false">
      <c r="A2" s="2" t="s">
        <v>204</v>
      </c>
      <c r="B2" s="3" t="n">
        <f aca="false">'Core BOM'!E75</f>
        <v>22882</v>
      </c>
    </row>
    <row r="3" customFormat="false" ht="15" hidden="false" customHeight="true" outlineLevel="0" collapsed="false">
      <c r="A3" s="2" t="s">
        <v>205</v>
      </c>
      <c r="B3" s="3" t="n">
        <f aca="false">Spares!E27</f>
        <v>6186</v>
      </c>
    </row>
    <row r="4" customFormat="false" ht="15" hidden="false" customHeight="true" outlineLevel="0" collapsed="false">
      <c r="A4" s="2" t="s">
        <v>206</v>
      </c>
      <c r="B4" s="3" t="n">
        <f aca="false">B2+B3</f>
        <v>29068</v>
      </c>
    </row>
    <row r="5" customFormat="false" ht="15" hidden="false" customHeight="true" outlineLevel="0" collapsed="false">
      <c r="A5" s="2" t="s">
        <v>207</v>
      </c>
      <c r="B5" s="3" t="n">
        <f aca="false">ROUND(B4*0.1,0)</f>
        <v>2907</v>
      </c>
    </row>
    <row r="6" customFormat="false" ht="15" hidden="false" customHeight="true" outlineLevel="0" collapsed="false">
      <c r="A6" s="2" t="s">
        <v>208</v>
      </c>
      <c r="B6" s="3" t="n">
        <f aca="false">B4+B5</f>
        <v>31975</v>
      </c>
    </row>
    <row r="7" customFormat="false" ht="15" hidden="false" customHeight="true" outlineLevel="0" collapsed="false">
      <c r="A7" s="2"/>
      <c r="B7" s="3"/>
    </row>
    <row r="8" customFormat="false" ht="15" hidden="false" customHeight="true" outlineLevel="0" collapsed="false">
      <c r="A8" s="2" t="s">
        <v>209</v>
      </c>
      <c r="B8" s="3"/>
    </row>
    <row r="9" customFormat="false" ht="23.25" hidden="false" customHeight="true" outlineLevel="0" collapsed="false">
      <c r="A9" s="2" t="s">
        <v>210</v>
      </c>
      <c r="B9" s="3"/>
    </row>
    <row r="10" customFormat="false" ht="23.25" hidden="false" customHeight="true" outlineLevel="0" collapsed="false">
      <c r="A10" s="2" t="s">
        <v>211</v>
      </c>
      <c r="B10" s="3"/>
    </row>
    <row r="11" customFormat="false" ht="23.25" hidden="false" customHeight="true" outlineLevel="0" collapsed="false">
      <c r="A11" s="2" t="s">
        <v>212</v>
      </c>
      <c r="B11" s="3"/>
    </row>
    <row r="12" customFormat="false" ht="23.25" hidden="false" customHeight="true" outlineLevel="0" collapsed="false">
      <c r="A12" s="2" t="s">
        <v>213</v>
      </c>
      <c r="B12" s="3"/>
    </row>
    <row r="13" customFormat="false" ht="15" hidden="false" customHeight="true" outlineLevel="0" collapsed="false">
      <c r="A13" s="2" t="s">
        <v>214</v>
      </c>
      <c r="B13" s="3"/>
    </row>
    <row r="14" customFormat="false" ht="15" hidden="false" customHeight="true" outlineLevel="0" collapsed="false">
      <c r="A14" s="2" t="s">
        <v>215</v>
      </c>
      <c r="B14" s="3"/>
    </row>
    <row r="15" customFormat="false" ht="45.75" hidden="false" customHeight="true" outlineLevel="0" collapsed="false">
      <c r="A15" s="2" t="s">
        <v>216</v>
      </c>
      <c r="B15" s="3"/>
    </row>
    <row r="16" customFormat="false" ht="15" hidden="false" customHeight="true" outlineLevel="0" collapsed="false">
      <c r="A16" s="2" t="s">
        <v>217</v>
      </c>
      <c r="B16" s="3"/>
    </row>
    <row r="17" customFormat="false" ht="15" hidden="false" customHeight="false" outlineLevel="0" collapsed="false">
      <c r="A17" s="1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2026-10-19T20:10:44Z</dcterms:created>
  <dc:creator>openpyxl</dc:creator>
  <dc:description/>
  <dc:language>en-US</dc:language>
  <cp:lastModifiedBy/>
  <dcterms:modified xsi:type="dcterms:W3CDTF">2026-10-19T22:42:01Z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